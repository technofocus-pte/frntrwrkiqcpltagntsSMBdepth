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S Estimates" sheetId="1" state="visible" r:id="rId1"/>
    <sheet xmlns:r="http://schemas.openxmlformats.org/officeDocument/2006/relationships" name="Analysis Guide" sheetId="2" state="visible" r:id="rId2"/>
    <sheet xmlns:r="http://schemas.openxmlformats.org/officeDocument/2006/relationships" name="Leadership Summary" sheetId="3" state="visible" r:id="rId3"/>
    <sheet xmlns:r="http://schemas.openxmlformats.org/officeDocument/2006/relationships" name="Category Summary" sheetId="4" state="visible" r:id="rId4"/>
  </sheets>
  <definedNames>
    <definedName name="_xlnm._FilterDatabase" localSheetId="0" hidden="1">'COGS Estimates'!$A$1:$P$25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4">
    <font>
      <name val="Calibri"/>
      <family val="2"/>
      <color theme="1"/>
      <sz val="11"/>
      <scheme val="minor"/>
    </font>
    <font>
      <name val="Segoe UI"/>
      <b val="1"/>
      <sz val="10"/>
    </font>
    <font>
      <name val="Segoe UI"/>
      <sz val="10"/>
    </font>
    <font>
      <name val="Segoe UI"/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24" customWidth="1" min="5" max="5"/>
    <col width="15" customWidth="1" min="6" max="6"/>
    <col width="17" customWidth="1" min="7" max="7"/>
    <col width="18" customWidth="1" min="8" max="8"/>
    <col width="16" customWidth="1" min="9" max="9"/>
    <col width="14" customWidth="1" min="10" max="10"/>
    <col width="17" customWidth="1" min="11" max="11"/>
    <col width="16" customWidth="1" min="12" max="12"/>
    <col width="14" customWidth="1" min="13" max="13"/>
    <col width="19" customWidth="1" min="14" max="14"/>
    <col width="17" customWidth="1" min="15" max="15"/>
    <col width="55" customWidth="1" min="16" max="16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Supplier</t>
        </is>
      </c>
      <c r="F1" s="1" t="inlineStr">
        <is>
          <t>Units Forecast</t>
        </is>
      </c>
      <c r="G1" s="1" t="inlineStr">
        <is>
          <t>Material Cost / Unit</t>
        </is>
      </c>
      <c r="H1" s="1" t="inlineStr">
        <is>
          <t>Direct Labor / Unit</t>
        </is>
      </c>
      <c r="I1" s="1" t="inlineStr">
        <is>
          <t>Packaging / Unit</t>
        </is>
      </c>
      <c r="J1" s="1" t="inlineStr">
        <is>
          <t>Freight / Unit</t>
        </is>
      </c>
      <c r="K1" s="1" t="inlineStr">
        <is>
          <t>Other COGS / Unit</t>
        </is>
      </c>
      <c r="L1" s="1" t="inlineStr">
        <is>
          <t>Total COGS / Unit</t>
        </is>
      </c>
      <c r="M1" s="1" t="inlineStr">
        <is>
          <t>Total COGS</t>
        </is>
      </c>
      <c r="N1" s="1" t="inlineStr">
        <is>
          <t>Target Gross Margin %</t>
        </is>
      </c>
      <c r="O1" s="1" t="inlineStr">
        <is>
          <t>Target Selling Price</t>
        </is>
      </c>
      <c r="P1" s="1" t="inlineStr">
        <is>
          <t>Data Quality Note</t>
        </is>
      </c>
    </row>
    <row r="2">
      <c r="A2" s="2" t="inlineStr">
        <is>
          <t>ZH-001</t>
        </is>
      </c>
      <c r="B2" s="2" t="inlineStr">
        <is>
          <t>Aero Lounge Chair</t>
        </is>
      </c>
      <c r="C2" s="2" t="inlineStr">
        <is>
          <t>Furniture</t>
        </is>
      </c>
      <c r="D2" s="2" t="inlineStr">
        <is>
          <t>North</t>
        </is>
      </c>
      <c r="E2" s="2" t="inlineStr">
        <is>
          <t>Northstar Furnishings</t>
        </is>
      </c>
      <c r="F2" s="2" t="n">
        <v>1200</v>
      </c>
      <c r="G2" s="3" t="n">
        <v>92</v>
      </c>
      <c r="H2" s="3" t="n">
        <v>18</v>
      </c>
      <c r="I2" s="3" t="n">
        <v>7</v>
      </c>
      <c r="J2" s="3" t="n">
        <v>9</v>
      </c>
      <c r="K2" s="3" t="n">
        <v>3</v>
      </c>
      <c r="L2" s="3">
        <f>SUM(G2:K2)</f>
        <v/>
      </c>
      <c r="M2" s="4">
        <f>F2*L2</f>
        <v/>
      </c>
      <c r="N2" s="5" t="n">
        <v>0.42</v>
      </c>
      <c r="O2" s="3">
        <f>L2/(1-N2)</f>
        <v/>
      </c>
      <c r="P2" s="2" t="n"/>
    </row>
    <row r="3">
      <c r="A3" s="2" t="inlineStr">
        <is>
          <t>ZH-002</t>
        </is>
      </c>
      <c r="B3" s="2" t="inlineStr">
        <is>
          <t>Haven 3-Seater Sofa</t>
        </is>
      </c>
      <c r="C3" s="2" t="inlineStr">
        <is>
          <t>Furniture</t>
        </is>
      </c>
      <c r="D3" s="2" t="inlineStr">
        <is>
          <t>South</t>
        </is>
      </c>
      <c r="E3" s="2" t="inlineStr">
        <is>
          <t>UrbanCraft</t>
        </is>
      </c>
      <c r="F3" s="2" t="n">
        <v>800</v>
      </c>
      <c r="G3" s="3" t="n">
        <v>210</v>
      </c>
      <c r="H3" s="3" t="n">
        <v>34</v>
      </c>
      <c r="I3" s="3" t="n">
        <v>15</v>
      </c>
      <c r="J3" s="3" t="n">
        <v>18</v>
      </c>
      <c r="K3" s="3" t="n">
        <v>5</v>
      </c>
      <c r="L3" s="3">
        <f>SUM(G3:K3)</f>
        <v/>
      </c>
      <c r="M3" s="4">
        <f>F3*L3</f>
        <v/>
      </c>
      <c r="N3" s="5" t="n">
        <v>0.4</v>
      </c>
      <c r="O3" s="3">
        <f>L3/(1-N3)</f>
        <v/>
      </c>
      <c r="P3" s="2" t="n"/>
    </row>
    <row r="4">
      <c r="A4" s="2" t="inlineStr">
        <is>
          <t>ZH-003</t>
        </is>
      </c>
      <c r="B4" s="2" t="inlineStr">
        <is>
          <t>Luma Side Table</t>
        </is>
      </c>
      <c r="C4" s="2" t="inlineStr">
        <is>
          <t>Furniture</t>
        </is>
      </c>
      <c r="D4" s="2" t="inlineStr">
        <is>
          <t>West</t>
        </is>
      </c>
      <c r="E4" s="2" t="inlineStr">
        <is>
          <t>Oakline Works</t>
        </is>
      </c>
      <c r="F4" s="2" t="n">
        <v>1800</v>
      </c>
      <c r="G4" s="3" t="n">
        <v>38</v>
      </c>
      <c r="H4" s="3" t="n">
        <v>9</v>
      </c>
      <c r="I4" s="3" t="n">
        <v>4</v>
      </c>
      <c r="J4" s="3" t="n">
        <v>5</v>
      </c>
      <c r="K4" s="3" t="n">
        <v>2</v>
      </c>
      <c r="L4" s="3">
        <f>SUM(G4:K4)</f>
        <v/>
      </c>
      <c r="M4" s="4">
        <f>F4*L4</f>
        <v/>
      </c>
      <c r="N4" s="5" t="n">
        <v>0.45</v>
      </c>
      <c r="O4" s="3">
        <f>L4/(1-N4)</f>
        <v/>
      </c>
      <c r="P4" s="2" t="n"/>
    </row>
    <row r="5">
      <c r="A5" s="2" t="inlineStr">
        <is>
          <t>ZH-004</t>
        </is>
      </c>
      <c r="B5" s="2" t="inlineStr">
        <is>
          <t>Nest Storage Cabinet</t>
        </is>
      </c>
      <c r="C5" s="2" t="inlineStr">
        <is>
          <t>Storage</t>
        </is>
      </c>
      <c r="D5" s="2" t="inlineStr">
        <is>
          <t>East</t>
        </is>
      </c>
      <c r="E5" s="2" t="inlineStr">
        <is>
          <t>HomeCore</t>
        </is>
      </c>
      <c r="F5" s="2" t="n">
        <v>950</v>
      </c>
      <c r="G5" s="3" t="n">
        <v>74</v>
      </c>
      <c r="H5" s="3" t="n">
        <v>15</v>
      </c>
      <c r="I5" s="3" t="n">
        <v>6</v>
      </c>
      <c r="J5" s="3" t="n">
        <v>10</v>
      </c>
      <c r="K5" s="3" t="n">
        <v>3</v>
      </c>
      <c r="L5" s="3">
        <f>SUM(G5:K5)</f>
        <v/>
      </c>
      <c r="M5" s="4">
        <f>F5*L5</f>
        <v/>
      </c>
      <c r="N5" s="5" t="n">
        <v>0.43</v>
      </c>
      <c r="O5" s="3">
        <f>L5/(1-N5)</f>
        <v/>
      </c>
      <c r="P5" s="2" t="n"/>
    </row>
    <row r="6">
      <c r="A6" s="2" t="inlineStr">
        <is>
          <t>ZH-005</t>
        </is>
      </c>
      <c r="B6" s="2" t="inlineStr">
        <is>
          <t>Mira Floor Lamp</t>
        </is>
      </c>
      <c r="C6" s="2" t="inlineStr">
        <is>
          <t>Lighting</t>
        </is>
      </c>
      <c r="D6" s="2" t="inlineStr">
        <is>
          <t>North</t>
        </is>
      </c>
      <c r="E6" s="2" t="inlineStr">
        <is>
          <t>BrightHouse</t>
        </is>
      </c>
      <c r="F6" s="2" t="n">
        <v>2200</v>
      </c>
      <c r="G6" s="3" t="n">
        <v>26</v>
      </c>
      <c r="H6" s="3" t="n">
        <v>7</v>
      </c>
      <c r="I6" s="3" t="n">
        <v>3</v>
      </c>
      <c r="J6" s="3" t="n">
        <v>4</v>
      </c>
      <c r="K6" s="3" t="n">
        <v>1</v>
      </c>
      <c r="L6" s="3">
        <f>SUM(G6:K6)</f>
        <v/>
      </c>
      <c r="M6" s="4">
        <f>F6*L6</f>
        <v/>
      </c>
      <c r="N6" s="5" t="n">
        <v>0.48</v>
      </c>
      <c r="O6" s="3">
        <f>L6/(1-N6)</f>
        <v/>
      </c>
      <c r="P6" s="2" t="n"/>
    </row>
    <row r="7">
      <c r="A7" s="2" t="inlineStr">
        <is>
          <t>ZH-006</t>
        </is>
      </c>
      <c r="B7" s="2" t="inlineStr">
        <is>
          <t>Arc Pendant Light</t>
        </is>
      </c>
      <c r="C7" s="2" t="inlineStr">
        <is>
          <t>Lighting</t>
        </is>
      </c>
      <c r="D7" s="2" t="inlineStr">
        <is>
          <t>South</t>
        </is>
      </c>
      <c r="E7" s="2" t="inlineStr">
        <is>
          <t>BrightHouse</t>
        </is>
      </c>
      <c r="F7" s="2" t="n">
        <v>1400</v>
      </c>
      <c r="G7" s="3" t="n">
        <v>41</v>
      </c>
      <c r="H7" s="3" t="n">
        <v>8</v>
      </c>
      <c r="I7" s="3" t="n">
        <v>4</v>
      </c>
      <c r="J7" s="3" t="n">
        <v>6</v>
      </c>
      <c r="K7" s="3" t="n">
        <v>2</v>
      </c>
      <c r="L7" s="3">
        <f>SUM(G7:K7)</f>
        <v/>
      </c>
      <c r="M7" s="4">
        <f>F7*L7</f>
        <v/>
      </c>
      <c r="N7" s="5" t="n">
        <v>0.46</v>
      </c>
      <c r="O7" s="3">
        <f>L7/(1-N7)</f>
        <v/>
      </c>
      <c r="P7" s="2" t="n"/>
    </row>
    <row r="8">
      <c r="A8" s="2" t="inlineStr">
        <is>
          <t>ZH-007</t>
        </is>
      </c>
      <c r="B8" s="2" t="inlineStr">
        <is>
          <t>Terra Dining Table</t>
        </is>
      </c>
      <c r="C8" s="2" t="inlineStr">
        <is>
          <t>Furniture</t>
        </is>
      </c>
      <c r="D8" s="2" t="inlineStr">
        <is>
          <t>West</t>
        </is>
      </c>
      <c r="E8" s="2" t="n"/>
      <c r="F8" s="2" t="n">
        <v>600</v>
      </c>
      <c r="G8" s="3" t="n">
        <v>155</v>
      </c>
      <c r="H8" s="3" t="n">
        <v>28</v>
      </c>
      <c r="I8" s="3" t="n">
        <v>12</v>
      </c>
      <c r="J8" s="3" t="n">
        <v>17</v>
      </c>
      <c r="K8" s="3" t="n">
        <v>4</v>
      </c>
      <c r="L8" s="3">
        <f>SUM(G8:K8)</f>
        <v/>
      </c>
      <c r="M8" s="4">
        <f>F8*L8</f>
        <v/>
      </c>
      <c r="N8" s="5" t="n">
        <v>0.39</v>
      </c>
      <c r="O8" s="3">
        <f>L8/(1-N8)</f>
        <v/>
      </c>
      <c r="P8" s="2" t="inlineStr">
        <is>
          <t>Missing supplier</t>
        </is>
      </c>
    </row>
    <row r="9">
      <c r="A9" s="2" t="inlineStr">
        <is>
          <t>ZH-008</t>
        </is>
      </c>
      <c r="B9" s="2" t="inlineStr">
        <is>
          <t>Terra Dining Chair</t>
        </is>
      </c>
      <c r="C9" s="2" t="inlineStr">
        <is>
          <t>Furniture</t>
        </is>
      </c>
      <c r="D9" s="2" t="inlineStr">
        <is>
          <t>East</t>
        </is>
      </c>
      <c r="E9" s="2" t="inlineStr">
        <is>
          <t>Oakline Works</t>
        </is>
      </c>
      <c r="F9" s="2" t="n">
        <v>2400</v>
      </c>
      <c r="G9" s="3" t="n">
        <v>52</v>
      </c>
      <c r="H9" s="3" t="n">
        <v>12</v>
      </c>
      <c r="I9" s="3" t="n">
        <v>5</v>
      </c>
      <c r="J9" s="3" t="n">
        <v>7</v>
      </c>
      <c r="K9" s="3" t="n">
        <v>2</v>
      </c>
      <c r="L9" s="3">
        <f>SUM(G9:K9)</f>
        <v/>
      </c>
      <c r="M9" s="4">
        <f>F9*L9</f>
        <v/>
      </c>
      <c r="N9" s="5" t="n">
        <v>0.41</v>
      </c>
      <c r="O9" s="3">
        <f>L9/(1-N9)</f>
        <v/>
      </c>
      <c r="P9" s="2" t="n"/>
    </row>
    <row r="10">
      <c r="A10" s="2" t="inlineStr">
        <is>
          <t>ZH-009</t>
        </is>
      </c>
      <c r="B10" s="2" t="inlineStr">
        <is>
          <t>Cloud Bedding Set</t>
        </is>
      </c>
      <c r="C10" s="2" t="inlineStr">
        <is>
          <t>Textiles</t>
        </is>
      </c>
      <c r="D10" s="2" t="inlineStr">
        <is>
          <t>North</t>
        </is>
      </c>
      <c r="E10" s="2" t="inlineStr">
        <is>
          <t>SoftNest</t>
        </is>
      </c>
      <c r="F10" s="2" t="n">
        <v>3000</v>
      </c>
      <c r="G10" s="3" t="n">
        <v>29</v>
      </c>
      <c r="H10" s="3" t="n">
        <v>6</v>
      </c>
      <c r="I10" s="3" t="n">
        <v>3</v>
      </c>
      <c r="J10" s="3" t="n">
        <v>4</v>
      </c>
      <c r="K10" s="3" t="n">
        <v>1</v>
      </c>
      <c r="L10" s="3">
        <f>SUM(G10:K10)</f>
        <v/>
      </c>
      <c r="M10" s="4">
        <f>F10*L10</f>
        <v/>
      </c>
      <c r="N10" s="5" t="n">
        <v>0.5</v>
      </c>
      <c r="O10" s="3">
        <f>L10/(1-N10)</f>
        <v/>
      </c>
      <c r="P10" s="2" t="n"/>
    </row>
    <row r="11">
      <c r="A11" s="2" t="inlineStr">
        <is>
          <t>ZH-010</t>
        </is>
      </c>
      <c r="B11" s="2" t="inlineStr">
        <is>
          <t>Linen Duvet Cover</t>
        </is>
      </c>
      <c r="C11" s="2" t="inlineStr">
        <is>
          <t>Textiles</t>
        </is>
      </c>
      <c r="D11" s="2" t="inlineStr">
        <is>
          <t>South</t>
        </is>
      </c>
      <c r="E11" s="2" t="inlineStr">
        <is>
          <t>SoftNest</t>
        </is>
      </c>
      <c r="F11" s="2" t="n">
        <v>2600</v>
      </c>
      <c r="G11" s="3" t="n">
        <v>24</v>
      </c>
      <c r="H11" s="3" t="n">
        <v>5</v>
      </c>
      <c r="I11" s="3" t="n">
        <v>3</v>
      </c>
      <c r="J11" s="3" t="n">
        <v>4</v>
      </c>
      <c r="K11" s="3" t="n">
        <v>1</v>
      </c>
      <c r="L11" s="3">
        <f>SUM(G11:K11)</f>
        <v/>
      </c>
      <c r="M11" s="4">
        <f>F11*L11</f>
        <v/>
      </c>
      <c r="N11" s="5" t="n">
        <v>0.51</v>
      </c>
      <c r="O11" s="3">
        <f>L11/(1-N11)</f>
        <v/>
      </c>
      <c r="P11" s="2" t="n"/>
    </row>
    <row r="12">
      <c r="A12" s="2" t="inlineStr">
        <is>
          <t>ZH-011</t>
        </is>
      </c>
      <c r="B12" s="2" t="inlineStr">
        <is>
          <t>Harbor Bookshelf</t>
        </is>
      </c>
      <c r="C12" s="2" t="inlineStr">
        <is>
          <t>Storage</t>
        </is>
      </c>
      <c r="D12" s="2" t="inlineStr">
        <is>
          <t>West</t>
        </is>
      </c>
      <c r="E12" s="2" t="inlineStr">
        <is>
          <t>UrbanCraft</t>
        </is>
      </c>
      <c r="F12" s="2" t="n">
        <v>1100</v>
      </c>
      <c r="G12" s="3" t="n">
        <v>88</v>
      </c>
      <c r="H12" s="3" t="n">
        <v>17</v>
      </c>
      <c r="I12" s="3" t="n">
        <v>7</v>
      </c>
      <c r="J12" s="3" t="n">
        <v>11</v>
      </c>
      <c r="K12" s="3" t="n">
        <v>3</v>
      </c>
      <c r="L12" s="3">
        <f>SUM(G12:K12)</f>
        <v/>
      </c>
      <c r="M12" s="4">
        <f>F12*L12</f>
        <v/>
      </c>
      <c r="N12" s="5" t="n">
        <v>0.44</v>
      </c>
      <c r="O12" s="3">
        <f>L12/(1-N12)</f>
        <v/>
      </c>
      <c r="P12" s="2" t="n"/>
    </row>
    <row r="13">
      <c r="A13" s="2" t="inlineStr">
        <is>
          <t>ZH-012</t>
        </is>
      </c>
      <c r="B13" s="2" t="inlineStr">
        <is>
          <t>Cove Coffee Table</t>
        </is>
      </c>
      <c r="C13" s="2" t="inlineStr">
        <is>
          <t>Furniture</t>
        </is>
      </c>
      <c r="D13" s="2" t="inlineStr">
        <is>
          <t>East</t>
        </is>
      </c>
      <c r="E13" s="2" t="inlineStr">
        <is>
          <t>UrbanCraft</t>
        </is>
      </c>
      <c r="F13" s="2" t="n">
        <v>1250</v>
      </c>
      <c r="G13" s="3" t="n"/>
      <c r="H13" s="3" t="n">
        <v>13</v>
      </c>
      <c r="I13" s="3" t="n">
        <v>5</v>
      </c>
      <c r="J13" s="3" t="n">
        <v>8</v>
      </c>
      <c r="K13" s="3" t="n">
        <v>2</v>
      </c>
      <c r="L13" s="3">
        <f>SUM(G13:K13)</f>
        <v/>
      </c>
      <c r="M13" s="4">
        <f>F13*L13</f>
        <v/>
      </c>
      <c r="N13" s="5" t="n">
        <v>0.45</v>
      </c>
      <c r="O13" s="3">
        <f>L13/(1-N13)</f>
        <v/>
      </c>
      <c r="P13" s="2" t="inlineStr">
        <is>
          <t>Missing material cost / unit</t>
        </is>
      </c>
    </row>
    <row r="14">
      <c r="A14" s="2" t="inlineStr">
        <is>
          <t>ZH-013</t>
        </is>
      </c>
      <c r="B14" s="2" t="inlineStr">
        <is>
          <t>Zen Area Rug</t>
        </is>
      </c>
      <c r="C14" s="2" t="inlineStr">
        <is>
          <t>Textiles</t>
        </is>
      </c>
      <c r="D14" s="2" t="inlineStr">
        <is>
          <t>North</t>
        </is>
      </c>
      <c r="E14" s="2" t="inlineStr">
        <is>
          <t>WeaveWell</t>
        </is>
      </c>
      <c r="F14" s="2" t="n">
        <v>1700</v>
      </c>
      <c r="G14" s="3" t="n">
        <v>46</v>
      </c>
      <c r="H14" s="3" t="n">
        <v>8</v>
      </c>
      <c r="I14" s="3" t="n">
        <v>5</v>
      </c>
      <c r="J14" s="3" t="n">
        <v>7</v>
      </c>
      <c r="K14" s="3" t="n">
        <v>2</v>
      </c>
      <c r="L14" s="3">
        <f>SUM(G14:K14)</f>
        <v/>
      </c>
      <c r="M14" s="4">
        <f>F14*L14</f>
        <v/>
      </c>
      <c r="N14" s="5" t="n">
        <v>0.47</v>
      </c>
      <c r="O14" s="3">
        <f>L14/(1-N14)</f>
        <v/>
      </c>
      <c r="P14" s="2" t="n"/>
    </row>
    <row r="15">
      <c r="A15" s="2" t="inlineStr">
        <is>
          <t>ZH-014</t>
        </is>
      </c>
      <c r="B15" s="2" t="inlineStr">
        <is>
          <t>Breeze Accent Chair</t>
        </is>
      </c>
      <c r="C15" s="2" t="inlineStr">
        <is>
          <t>Furniture</t>
        </is>
      </c>
      <c r="D15" s="2" t="inlineStr">
        <is>
          <t>South</t>
        </is>
      </c>
      <c r="E15" s="2" t="inlineStr">
        <is>
          <t>Northstar Furnishings</t>
        </is>
      </c>
      <c r="F15" s="2" t="n">
        <v>1050</v>
      </c>
      <c r="G15" s="3" t="n">
        <v>83</v>
      </c>
      <c r="H15" s="3" t="n">
        <v>16</v>
      </c>
      <c r="I15" s="3" t="n">
        <v>6</v>
      </c>
      <c r="J15" s="3" t="n">
        <v>8</v>
      </c>
      <c r="K15" s="3" t="n">
        <v>3</v>
      </c>
      <c r="L15" s="3">
        <f>SUM(G15:K15)</f>
        <v/>
      </c>
      <c r="M15" s="4">
        <f>F15*L15</f>
        <v/>
      </c>
      <c r="N15" s="5" t="n">
        <v>0.43</v>
      </c>
      <c r="O15" s="3">
        <f>L15/(1-N15)</f>
        <v/>
      </c>
      <c r="P15" s="2" t="n"/>
    </row>
    <row r="16">
      <c r="A16" s="2" t="inlineStr">
        <is>
          <t>ZH-015</t>
        </is>
      </c>
      <c r="B16" s="2" t="inlineStr">
        <is>
          <t>Glow Desk Lamp</t>
        </is>
      </c>
      <c r="C16" s="2" t="inlineStr">
        <is>
          <t>Lighting</t>
        </is>
      </c>
      <c r="D16" s="2" t="inlineStr">
        <is>
          <t>West</t>
        </is>
      </c>
      <c r="E16" s="2" t="inlineStr">
        <is>
          <t>BrightHouse</t>
        </is>
      </c>
      <c r="F16" s="2" t="n">
        <v>2800</v>
      </c>
      <c r="G16" s="3" t="n">
        <v>19</v>
      </c>
      <c r="H16" s="3" t="n">
        <v>5</v>
      </c>
      <c r="I16" s="3" t="n">
        <v>2</v>
      </c>
      <c r="J16" s="3" t="n">
        <v>3</v>
      </c>
      <c r="K16" s="3" t="n">
        <v>1</v>
      </c>
      <c r="L16" s="3">
        <f>SUM(G16:K16)</f>
        <v/>
      </c>
      <c r="M16" s="4">
        <f>F16*L16</f>
        <v/>
      </c>
      <c r="N16" s="5" t="n">
        <v>0.49</v>
      </c>
      <c r="O16" s="3">
        <f>L16/(1-N16)</f>
        <v/>
      </c>
      <c r="P16" s="2" t="n"/>
    </row>
    <row r="17">
      <c r="A17" s="2" t="inlineStr">
        <is>
          <t>ZH-016</t>
        </is>
      </c>
      <c r="B17" s="2" t="inlineStr">
        <is>
          <t>Oak Entry Console</t>
        </is>
      </c>
      <c r="C17" s="2" t="inlineStr">
        <is>
          <t>Storage</t>
        </is>
      </c>
      <c r="D17" s="2" t="inlineStr">
        <is>
          <t>East</t>
        </is>
      </c>
      <c r="E17" s="2" t="inlineStr">
        <is>
          <t>Oakline Works</t>
        </is>
      </c>
      <c r="F17" s="2" t="n">
        <v>700</v>
      </c>
      <c r="G17" s="3" t="n">
        <v>97</v>
      </c>
      <c r="H17" s="3" t="n">
        <v>19</v>
      </c>
      <c r="I17" s="3" t="n">
        <v>8</v>
      </c>
      <c r="J17" s="3" t="n">
        <v>12</v>
      </c>
      <c r="K17" s="3" t="n">
        <v>3</v>
      </c>
      <c r="L17" s="3">
        <f>SUM(G17:K17)</f>
        <v/>
      </c>
      <c r="M17" s="4">
        <f>F17*L17</f>
        <v/>
      </c>
      <c r="N17" s="5" t="n">
        <v>0.42</v>
      </c>
      <c r="O17" s="3">
        <f>L17/(1-N17)</f>
        <v/>
      </c>
      <c r="P17" s="2" t="n"/>
    </row>
    <row r="18">
      <c r="A18" s="2" t="inlineStr">
        <is>
          <t>ZH-017</t>
        </is>
      </c>
      <c r="B18" s="2" t="inlineStr">
        <is>
          <t>Vista Bar Stool</t>
        </is>
      </c>
      <c r="C18" s="2" t="inlineStr">
        <is>
          <t>Furniture</t>
        </is>
      </c>
      <c r="D18" s="2" t="inlineStr">
        <is>
          <t>North</t>
        </is>
      </c>
      <c r="E18" s="2" t="inlineStr">
        <is>
          <t>HomeCore</t>
        </is>
      </c>
      <c r="F18" s="2" t="n">
        <v>-350</v>
      </c>
      <c r="G18" s="3" t="n">
        <v>48</v>
      </c>
      <c r="H18" s="3" t="n">
        <v>10</v>
      </c>
      <c r="I18" s="3" t="n">
        <v>5</v>
      </c>
      <c r="J18" s="3" t="n">
        <v>7</v>
      </c>
      <c r="K18" s="3" t="n">
        <v>2</v>
      </c>
      <c r="L18" s="3">
        <f>SUM(G18:K18)</f>
        <v/>
      </c>
      <c r="M18" s="4">
        <f>F18*L18</f>
        <v/>
      </c>
      <c r="N18" s="5" t="n">
        <v>0.44</v>
      </c>
      <c r="O18" s="3">
        <f>L18/(1-N18)</f>
        <v/>
      </c>
      <c r="P18" s="2" t="inlineStr">
        <is>
          <t>Invalid negative units forecast</t>
        </is>
      </c>
    </row>
    <row r="19">
      <c r="A19" s="2" t="inlineStr">
        <is>
          <t>ZH-018</t>
        </is>
      </c>
      <c r="B19" s="2" t="inlineStr">
        <is>
          <t>Calm Throw Blanket</t>
        </is>
      </c>
      <c r="C19" s="2" t="inlineStr">
        <is>
          <t>Textiles</t>
        </is>
      </c>
      <c r="D19" s="2" t="inlineStr">
        <is>
          <t>South</t>
        </is>
      </c>
      <c r="E19" s="2" t="inlineStr">
        <is>
          <t>SoftNest</t>
        </is>
      </c>
      <c r="F19" s="2" t="n">
        <v>3500</v>
      </c>
      <c r="G19" s="3" t="n">
        <v>17</v>
      </c>
      <c r="H19" s="3" t="n">
        <v>4</v>
      </c>
      <c r="I19" s="3" t="n">
        <v>2</v>
      </c>
      <c r="J19" s="3" t="n">
        <v>3</v>
      </c>
      <c r="K19" s="3" t="n">
        <v>1</v>
      </c>
      <c r="L19" s="3">
        <f>SUM(G19:K19)</f>
        <v/>
      </c>
      <c r="M19" s="4">
        <f>F19*L19</f>
        <v/>
      </c>
      <c r="N19" s="5" t="n">
        <v>0.52</v>
      </c>
      <c r="O19" s="3">
        <f>L19/(1-N19)</f>
        <v/>
      </c>
      <c r="P19" s="2" t="n"/>
    </row>
    <row r="20">
      <c r="A20" s="2" t="inlineStr">
        <is>
          <t>ZH-019</t>
        </is>
      </c>
      <c r="B20" s="2" t="inlineStr">
        <is>
          <t>Pulse Smart Lamp</t>
        </is>
      </c>
      <c r="C20" s="2" t="inlineStr">
        <is>
          <t>Lighting</t>
        </is>
      </c>
      <c r="D20" s="2" t="inlineStr">
        <is>
          <t>West</t>
        </is>
      </c>
      <c r="E20" s="2" t="inlineStr">
        <is>
          <t>BrightHouse</t>
        </is>
      </c>
      <c r="F20" s="2" t="n">
        <v>1900</v>
      </c>
      <c r="G20" s="3" t="n">
        <v>63</v>
      </c>
      <c r="H20" s="3" t="n">
        <v>11</v>
      </c>
      <c r="I20" s="3" t="n">
        <v>4</v>
      </c>
      <c r="J20" s="3" t="n">
        <v>8</v>
      </c>
      <c r="K20" s="3" t="n">
        <v>2</v>
      </c>
      <c r="L20" s="3">
        <f>SUM(G20:K20)</f>
        <v/>
      </c>
      <c r="M20" s="4">
        <f>F20*L20</f>
        <v/>
      </c>
      <c r="N20" s="5" t="n">
        <v>0.45</v>
      </c>
      <c r="O20" s="3">
        <f>L20/(1-N20)</f>
        <v/>
      </c>
      <c r="P20" s="2" t="n"/>
    </row>
    <row r="21">
      <c r="A21" s="2" t="inlineStr">
        <is>
          <t>ZH-020</t>
        </is>
      </c>
      <c r="B21" s="2" t="inlineStr">
        <is>
          <t>Luna Wardrobe</t>
        </is>
      </c>
      <c r="C21" s="2" t="inlineStr">
        <is>
          <t>Storage</t>
        </is>
      </c>
      <c r="D21" s="2" t="inlineStr">
        <is>
          <t>East</t>
        </is>
      </c>
      <c r="E21" s="2" t="inlineStr">
        <is>
          <t>HomeCore</t>
        </is>
      </c>
      <c r="F21" s="2" t="n">
        <v>500</v>
      </c>
      <c r="G21" s="3" t="n">
        <v>168</v>
      </c>
      <c r="H21" s="3" t="n">
        <v>29</v>
      </c>
      <c r="I21" s="3" t="n">
        <v>13</v>
      </c>
      <c r="J21" s="3" t="n">
        <v>21</v>
      </c>
      <c r="K21" s="3" t="n">
        <v>5</v>
      </c>
      <c r="L21" s="3">
        <f>SUM(G21:K21)</f>
        <v/>
      </c>
      <c r="M21" s="4">
        <f>F21*L21</f>
        <v/>
      </c>
      <c r="N21" s="5" t="n">
        <v>0.38</v>
      </c>
      <c r="O21" s="3">
        <f>L21/(1-N21)</f>
        <v/>
      </c>
      <c r="P21" s="2" t="n"/>
    </row>
    <row r="22">
      <c r="A22" s="2" t="inlineStr">
        <is>
          <t>ZH-021</t>
        </is>
      </c>
      <c r="B22" s="2" t="inlineStr">
        <is>
          <t>Ridge TV Unit</t>
        </is>
      </c>
      <c r="C22" s="2" t="inlineStr">
        <is>
          <t>Storage</t>
        </is>
      </c>
      <c r="D22" s="2" t="inlineStr">
        <is>
          <t>North</t>
        </is>
      </c>
      <c r="E22" s="2" t="inlineStr">
        <is>
          <t>HomeCore</t>
        </is>
      </c>
      <c r="F22" s="2" t="n">
        <v>900</v>
      </c>
      <c r="G22" s="3" t="n">
        <v>105</v>
      </c>
      <c r="H22" s="3" t="n">
        <v>20</v>
      </c>
      <c r="I22" s="3" t="n">
        <v>8</v>
      </c>
      <c r="J22" s="3" t="n">
        <v>12</v>
      </c>
      <c r="K22" s="3" t="n">
        <v>3</v>
      </c>
      <c r="L22" s="3">
        <f>SUM(G22:K22)</f>
        <v/>
      </c>
      <c r="M22" s="4">
        <f>F22*L22</f>
        <v/>
      </c>
      <c r="N22" s="5" t="n">
        <v>1.15</v>
      </c>
      <c r="O22" s="3">
        <f>L22/(1-N22)</f>
        <v/>
      </c>
      <c r="P22" s="2" t="inlineStr">
        <is>
          <t>Invalid target gross margin above 100%</t>
        </is>
      </c>
    </row>
    <row r="23">
      <c r="A23" s="2" t="inlineStr">
        <is>
          <t>ZH-022</t>
        </is>
      </c>
      <c r="B23" s="2" t="inlineStr">
        <is>
          <t>Halo Mirror</t>
        </is>
      </c>
      <c r="C23" s="2" t="inlineStr">
        <is>
          <t>Decor</t>
        </is>
      </c>
      <c r="D23" s="2" t="inlineStr">
        <is>
          <t>South</t>
        </is>
      </c>
      <c r="E23" s="2" t="inlineStr">
        <is>
          <t>WeaveWell</t>
        </is>
      </c>
      <c r="F23" s="2" t="n">
        <v>1500</v>
      </c>
      <c r="G23" s="3" t="n">
        <v>33</v>
      </c>
      <c r="H23" s="3" t="n">
        <v>7</v>
      </c>
      <c r="I23" s="3" t="n">
        <v>4</v>
      </c>
      <c r="J23" s="3" t="n">
        <v>6</v>
      </c>
      <c r="K23" s="3" t="n">
        <v>2</v>
      </c>
      <c r="L23" s="3">
        <f>SUM(G23:K23)</f>
        <v/>
      </c>
      <c r="M23" s="4">
        <f>F23*L23</f>
        <v/>
      </c>
      <c r="N23" s="5" t="n">
        <v>0.5</v>
      </c>
      <c r="O23" s="3">
        <f>L23/(1-N23)</f>
        <v/>
      </c>
      <c r="P23" s="2" t="n"/>
    </row>
    <row r="24">
      <c r="A24" s="2" t="inlineStr">
        <is>
          <t>ZH-023</t>
        </is>
      </c>
      <c r="B24" s="2" t="inlineStr">
        <is>
          <t>Vale Ottoman</t>
        </is>
      </c>
      <c r="C24" s="2" t="inlineStr">
        <is>
          <t>Furniture</t>
        </is>
      </c>
      <c r="D24" s="2" t="inlineStr">
        <is>
          <t>West</t>
        </is>
      </c>
      <c r="E24" s="2" t="inlineStr">
        <is>
          <t>Northstar Furnishings</t>
        </is>
      </c>
      <c r="F24" s="2" t="n">
        <v>1300</v>
      </c>
      <c r="G24" s="3" t="n">
        <v>57</v>
      </c>
      <c r="H24" s="3" t="n">
        <v>11</v>
      </c>
      <c r="I24" s="3" t="n">
        <v>5</v>
      </c>
      <c r="J24" s="3" t="n">
        <v>7</v>
      </c>
      <c r="K24" s="3" t="n">
        <v>2</v>
      </c>
      <c r="L24" s="3">
        <f>SUM(G24:K24)</f>
        <v/>
      </c>
      <c r="M24" s="4">
        <f>F24*L24</f>
        <v/>
      </c>
      <c r="N24" s="5" t="n">
        <v>0.46</v>
      </c>
      <c r="O24" s="3">
        <f>L24/(1-N24)</f>
        <v/>
      </c>
      <c r="P24" s="2" t="n"/>
    </row>
    <row r="25">
      <c r="A25" s="2" t="inlineStr">
        <is>
          <t>ZH-024</t>
        </is>
      </c>
      <c r="B25" s="2" t="inlineStr">
        <is>
          <t>Drift Cushion Set</t>
        </is>
      </c>
      <c r="C25" s="2" t="inlineStr">
        <is>
          <t>Textiles</t>
        </is>
      </c>
      <c r="D25" s="2" t="inlineStr">
        <is>
          <t>Central</t>
        </is>
      </c>
      <c r="E25" s="2" t="inlineStr">
        <is>
          <t>SoftNest</t>
        </is>
      </c>
      <c r="F25" s="2" t="n">
        <v>4200</v>
      </c>
      <c r="G25" s="3" t="n">
        <v>11</v>
      </c>
      <c r="H25" s="3" t="n">
        <v>3</v>
      </c>
      <c r="I25" s="3" t="n">
        <v>1</v>
      </c>
      <c r="J25" s="3" t="n">
        <v>2</v>
      </c>
      <c r="K25" s="3" t="n">
        <v>0.5</v>
      </c>
      <c r="L25" s="3">
        <f>SUM(G25:K25)</f>
        <v/>
      </c>
      <c r="M25" s="4">
        <f>F25*L25</f>
        <v/>
      </c>
      <c r="N25" s="5" t="n">
        <v>0.53</v>
      </c>
      <c r="O25" s="3">
        <f>L25/(1-N25)</f>
        <v/>
      </c>
      <c r="P25" s="2" t="inlineStr">
        <is>
          <t>Unexpected region value; standard regions are North, South, East, West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65" customWidth="1" min="3" max="3"/>
  </cols>
  <sheetData>
    <row r="1">
      <c r="A1" s="6" t="inlineStr">
        <is>
          <t>Key column</t>
        </is>
      </c>
      <c r="B1" s="6" t="inlineStr">
        <is>
          <t>Purpose</t>
        </is>
      </c>
      <c r="C1" s="6" t="inlineStr">
        <is>
          <t>Expected data / validation</t>
        </is>
      </c>
    </row>
    <row r="2">
      <c r="A2" s="7" t="inlineStr">
        <is>
          <t>Product ID</t>
        </is>
      </c>
      <c r="B2" s="7" t="inlineStr">
        <is>
          <t>Unique identifier for each Zava Home product.</t>
        </is>
      </c>
      <c r="C2" s="7" t="inlineStr">
        <is>
          <t>Unique; nonblank.</t>
        </is>
      </c>
    </row>
    <row r="3">
      <c r="A3" s="7" t="inlineStr">
        <is>
          <t>Product Name</t>
        </is>
      </c>
      <c r="B3" s="7" t="inlineStr">
        <is>
          <t>Human-readable product name.</t>
        </is>
      </c>
      <c r="C3" s="7" t="inlineStr">
        <is>
          <t>Nonblank.</t>
        </is>
      </c>
    </row>
    <row r="4">
      <c r="A4" s="7" t="inlineStr">
        <is>
          <t>Category</t>
        </is>
      </c>
      <c r="B4" s="7" t="inlineStr">
        <is>
          <t>Product grouping used for cost and margin analysis.</t>
        </is>
      </c>
      <c r="C4" s="7" t="inlineStr">
        <is>
          <t>Expected categories such as Furniture, Storage, Lighting, Textiles, Decor.</t>
        </is>
      </c>
    </row>
    <row r="5">
      <c r="A5" s="7" t="inlineStr">
        <is>
          <t>Region</t>
        </is>
      </c>
      <c r="B5" s="7" t="inlineStr">
        <is>
          <t>Forecast/operating region.</t>
        </is>
      </c>
      <c r="C5" s="7" t="inlineStr">
        <is>
          <t>Expected values: North, South, East, West.</t>
        </is>
      </c>
    </row>
    <row r="6">
      <c r="A6" s="7" t="inlineStr">
        <is>
          <t>Supplier</t>
        </is>
      </c>
      <c r="B6" s="7" t="inlineStr">
        <is>
          <t>Primary supplier associated with the product.</t>
        </is>
      </c>
      <c r="C6" s="7" t="inlineStr">
        <is>
          <t>Nonblank.</t>
        </is>
      </c>
    </row>
    <row r="7">
      <c r="A7" s="7" t="inlineStr">
        <is>
          <t>Units Forecast</t>
        </is>
      </c>
      <c r="B7" s="7" t="inlineStr">
        <is>
          <t>Expected units for the planning period.</t>
        </is>
      </c>
      <c r="C7" s="7" t="inlineStr">
        <is>
          <t>Positive whole number.</t>
        </is>
      </c>
    </row>
    <row r="8">
      <c r="A8" s="7" t="inlineStr">
        <is>
          <t>Material Cost / Unit</t>
        </is>
      </c>
      <c r="B8" s="7" t="inlineStr">
        <is>
          <t>Direct material cost per unit.</t>
        </is>
      </c>
      <c r="C8" s="7" t="inlineStr">
        <is>
          <t>Non-negative currency.</t>
        </is>
      </c>
    </row>
    <row r="9">
      <c r="A9" s="7" t="inlineStr">
        <is>
          <t>Direct Labor / Unit</t>
        </is>
      </c>
      <c r="B9" s="7" t="inlineStr">
        <is>
          <t>Direct labor cost allocated per unit.</t>
        </is>
      </c>
      <c r="C9" s="7" t="inlineStr">
        <is>
          <t>Non-negative currency.</t>
        </is>
      </c>
    </row>
    <row r="10">
      <c r="A10" s="7" t="inlineStr">
        <is>
          <t>Packaging / Unit</t>
        </is>
      </c>
      <c r="B10" s="7" t="inlineStr">
        <is>
          <t>Packaging cost per unit.</t>
        </is>
      </c>
      <c r="C10" s="7" t="inlineStr">
        <is>
          <t>Non-negative currency.</t>
        </is>
      </c>
    </row>
    <row r="11">
      <c r="A11" s="7" t="inlineStr">
        <is>
          <t>Freight / Unit</t>
        </is>
      </c>
      <c r="B11" s="7" t="inlineStr">
        <is>
          <t>Inbound freight cost per unit.</t>
        </is>
      </c>
      <c r="C11" s="7" t="inlineStr">
        <is>
          <t>Non-negative currency.</t>
        </is>
      </c>
    </row>
    <row r="12">
      <c r="A12" s="7" t="inlineStr">
        <is>
          <t>Other COGS / Unit</t>
        </is>
      </c>
      <c r="B12" s="7" t="inlineStr">
        <is>
          <t>Other direct COGS per unit.</t>
        </is>
      </c>
      <c r="C12" s="7" t="inlineStr">
        <is>
          <t>Non-negative currency.</t>
        </is>
      </c>
    </row>
    <row r="13">
      <c r="A13" s="7" t="inlineStr">
        <is>
          <t>Total COGS / Unit</t>
        </is>
      </c>
      <c r="B13" s="7" t="inlineStr">
        <is>
          <t>Calculated sum of the five unit-cost components.</t>
        </is>
      </c>
      <c r="C13" s="7" t="inlineStr">
        <is>
          <t>Should equal Material + Labor + Packaging + Freight + Other COGS.</t>
        </is>
      </c>
    </row>
    <row r="14">
      <c r="A14" s="7" t="inlineStr">
        <is>
          <t>Total COGS</t>
        </is>
      </c>
      <c r="B14" s="7" t="inlineStr">
        <is>
          <t>Calculated total cost for forecast units.</t>
        </is>
      </c>
      <c r="C14" s="7" t="inlineStr">
        <is>
          <t>Should equal Units Forecast × Total COGS / Unit.</t>
        </is>
      </c>
    </row>
    <row r="15">
      <c r="A15" s="7" t="inlineStr">
        <is>
          <t>Target Gross Margin %</t>
        </is>
      </c>
      <c r="B15" s="7" t="inlineStr">
        <is>
          <t>Planning margin assumption used to derive target price.</t>
        </is>
      </c>
      <c r="C15" s="7" t="inlineStr">
        <is>
          <t>Typically between 0% and 100%.</t>
        </is>
      </c>
    </row>
    <row r="16">
      <c r="A16" s="7" t="inlineStr">
        <is>
          <t>Target Selling Price</t>
        </is>
      </c>
      <c r="B16" s="7" t="inlineStr">
        <is>
          <t>Calculated price based on COGS and target margin.</t>
        </is>
      </c>
      <c r="C16" s="7" t="inlineStr">
        <is>
          <t>Should equal Total COGS / Unit ÷ (1 − Target Gross Margin %).</t>
        </is>
      </c>
    </row>
    <row r="17">
      <c r="A17" s="7" t="n"/>
      <c r="B17" s="7" t="n"/>
      <c r="C17" s="7" t="n"/>
    </row>
    <row r="18">
      <c r="A18" s="7" t="inlineStr">
        <is>
          <t>Known data-quality issues intentionally included for the lab</t>
        </is>
      </c>
      <c r="B18" s="7" t="inlineStr"/>
      <c r="C18" s="7" t="inlineStr"/>
    </row>
    <row r="19">
      <c r="A19" s="7" t="inlineStr">
        <is>
          <t>Row 8</t>
        </is>
      </c>
      <c r="B19" s="7" t="inlineStr">
        <is>
          <t>Missing supplier</t>
        </is>
      </c>
      <c r="C19" s="7" t="inlineStr">
        <is>
          <t>Use Copilot to identify and explain the impact.</t>
        </is>
      </c>
    </row>
    <row r="20">
      <c r="A20" s="7" t="inlineStr">
        <is>
          <t>Row 13</t>
        </is>
      </c>
      <c r="B20" s="7" t="inlineStr">
        <is>
          <t>Missing material cost / unit</t>
        </is>
      </c>
      <c r="C20" s="7" t="inlineStr">
        <is>
          <t>Use Copilot to identify and explain the impact.</t>
        </is>
      </c>
    </row>
    <row r="21">
      <c r="A21" s="7" t="inlineStr">
        <is>
          <t>Row 18</t>
        </is>
      </c>
      <c r="B21" s="7" t="inlineStr">
        <is>
          <t>Invalid negative units forecast</t>
        </is>
      </c>
      <c r="C21" s="7" t="inlineStr">
        <is>
          <t>Use Copilot to identify and explain the impact.</t>
        </is>
      </c>
    </row>
    <row r="22">
      <c r="A22" s="7" t="inlineStr">
        <is>
          <t>Row 22</t>
        </is>
      </c>
      <c r="B22" s="7" t="inlineStr">
        <is>
          <t>Invalid target gross margin above 100%</t>
        </is>
      </c>
      <c r="C22" s="7" t="inlineStr">
        <is>
          <t>Use Copilot to identify and explain the impact.</t>
        </is>
      </c>
    </row>
    <row r="23">
      <c r="A23" s="7" t="inlineStr">
        <is>
          <t>Row 25</t>
        </is>
      </c>
      <c r="B23" s="7" t="inlineStr">
        <is>
          <t>Unexpected region value; standard regions are North, South, East, West</t>
        </is>
      </c>
      <c r="C23" s="7" t="inlineStr">
        <is>
          <t>Use Copilot to identify and explain the impact.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Products in dataset</t>
        </is>
      </c>
      <c r="B2" s="10">
        <f>COUNTA('COGS Estimates'!A2:A25)</f>
        <v/>
      </c>
    </row>
    <row r="3">
      <c r="A3" s="9" t="inlineStr">
        <is>
          <t>Forecast units</t>
        </is>
      </c>
      <c r="B3" s="11">
        <f>SUM('COGS Estimates'!F2:F25)</f>
        <v/>
      </c>
    </row>
    <row r="4">
      <c r="A4" s="9" t="inlineStr">
        <is>
          <t>Total forecast COGS</t>
        </is>
      </c>
      <c r="B4" s="12">
        <f>SUM('COGS Estimates'!M2:M25)</f>
        <v/>
      </c>
    </row>
    <row r="5">
      <c r="A5" s="9" t="inlineStr">
        <is>
          <t>Average COGS / unit</t>
        </is>
      </c>
      <c r="B5" s="10">
        <f>AVERAGE('COGS Estimates'!L2:L25)</f>
        <v/>
      </c>
    </row>
    <row r="6">
      <c r="A6" s="9" t="inlineStr">
        <is>
          <t>Average target gross margin</t>
        </is>
      </c>
      <c r="B6" s="13">
        <f>AVERAGE('COGS Estimates'!N2:N25)</f>
        <v/>
      </c>
    </row>
    <row r="7">
      <c r="A7" s="9" t="inlineStr">
        <is>
          <t>Data-quality issues included</t>
        </is>
      </c>
      <c r="B7" s="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</cols>
  <sheetData>
    <row r="1">
      <c r="A1" s="14" t="inlineStr">
        <is>
          <t>Category</t>
        </is>
      </c>
      <c r="B1" s="14" t="inlineStr">
        <is>
          <t>Products</t>
        </is>
      </c>
      <c r="C1" s="14" t="inlineStr">
        <is>
          <t>Forecast Units</t>
        </is>
      </c>
      <c r="D1" s="14" t="inlineStr">
        <is>
          <t>Total COGS</t>
        </is>
      </c>
    </row>
    <row r="2">
      <c r="A2" t="inlineStr">
        <is>
          <t>Decor</t>
        </is>
      </c>
      <c r="B2">
        <f>COUNTIF('COGS Estimates'!C:C,A2)</f>
        <v/>
      </c>
      <c r="C2">
        <f>SUMIF('COGS Estimates'!C:C,A2,'COGS Estimates'!F:F)</f>
        <v/>
      </c>
      <c r="D2" s="15">
        <f>SUMIF('COGS Estimates'!C:C,A2,'COGS Estimates'!M:M)</f>
        <v/>
      </c>
    </row>
    <row r="3">
      <c r="A3" t="inlineStr">
        <is>
          <t>Furniture</t>
        </is>
      </c>
      <c r="B3">
        <f>COUNTIF('COGS Estimates'!C:C,A3)</f>
        <v/>
      </c>
      <c r="C3">
        <f>SUMIF('COGS Estimates'!C:C,A3,'COGS Estimates'!F:F)</f>
        <v/>
      </c>
      <c r="D3" s="15">
        <f>SUMIF('COGS Estimates'!C:C,A3,'COGS Estimates'!M:M)</f>
        <v/>
      </c>
    </row>
    <row r="4">
      <c r="A4" t="inlineStr">
        <is>
          <t>Lighting</t>
        </is>
      </c>
      <c r="B4">
        <f>COUNTIF('COGS Estimates'!C:C,A4)</f>
        <v/>
      </c>
      <c r="C4">
        <f>SUMIF('COGS Estimates'!C:C,A4,'COGS Estimates'!F:F)</f>
        <v/>
      </c>
      <c r="D4" s="15">
        <f>SUMIF('COGS Estimates'!C:C,A4,'COGS Estimates'!M:M)</f>
        <v/>
      </c>
    </row>
    <row r="5">
      <c r="A5" t="inlineStr">
        <is>
          <t>Storage</t>
        </is>
      </c>
      <c r="B5">
        <f>COUNTIF('COGS Estimates'!C:C,A5)</f>
        <v/>
      </c>
      <c r="C5">
        <f>SUMIF('COGS Estimates'!C:C,A5,'COGS Estimates'!F:F)</f>
        <v/>
      </c>
      <c r="D5" s="15">
        <f>SUMIF('COGS Estimates'!C:C,A5,'COGS Estimates'!M:M)</f>
        <v/>
      </c>
    </row>
    <row r="6">
      <c r="A6" t="inlineStr">
        <is>
          <t>Textiles</t>
        </is>
      </c>
      <c r="B6">
        <f>COUNTIF('COGS Estimates'!C:C,A6)</f>
        <v/>
      </c>
      <c r="C6">
        <f>SUMIF('COGS Estimates'!C:C,A6,'COGS Estimates'!F:F)</f>
        <v/>
      </c>
      <c r="D6" s="15">
        <f>SUMIF('COGS Estimates'!C:C,A6,'COGS Estimates'!M:M)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2026-09-04T08:27:17Z</dcterms:created>
  <dcterms:modified xmlns:dcterms="http://purl.org/dc/terms/" xmlns:xsi="http://www.w3.org/2001/XMLSchema-instance" xsi:type="dcterms:W3CDTF">2026-09-04T08:27:17Z</dcterms:modified>
</cp:coreProperties>
</file>